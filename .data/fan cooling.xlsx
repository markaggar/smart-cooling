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87e77b8a2e9176/Home Assistant/"/>
    </mc:Choice>
  </mc:AlternateContent>
  <xr:revisionPtr revIDLastSave="6" documentId="8_{8E3BC0EB-9D4D-4C85-B565-2C6662C0C19E}" xr6:coauthVersionLast="47" xr6:coauthVersionMax="47" xr10:uidLastSave="{E4A77D1A-9820-4CAA-80F0-F62E5FE8A775}"/>
  <bookViews>
    <workbookView xWindow="-120" yWindow="-120" windowWidth="29040" windowHeight="15720" activeTab="2" xr2:uid="{4FEBFF50-FBEC-4949-B102-48DBF096BFE8}"/>
  </bookViews>
  <sheets>
    <sheet name="Sheet1" sheetId="2" r:id="rId1"/>
    <sheet name="Sheet2" sheetId="3" r:id="rId2"/>
    <sheet name="history (1)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5" i="3" s="1"/>
  <c r="E11" i="3"/>
  <c r="E17" i="3"/>
  <c r="E24" i="3"/>
  <c r="E27" i="3"/>
  <c r="E3" i="3"/>
  <c r="D5" i="3"/>
  <c r="D6" i="3" s="1"/>
  <c r="D7" i="3" s="1"/>
  <c r="D8" i="3" s="1"/>
  <c r="D9" i="3" s="1"/>
  <c r="D10" i="3" s="1"/>
  <c r="D12" i="3"/>
  <c r="D13" i="3" s="1"/>
  <c r="D14" i="3" s="1"/>
  <c r="D15" i="3" s="1"/>
  <c r="D16" i="3" s="1"/>
  <c r="D18" i="3"/>
  <c r="D19" i="3" s="1"/>
  <c r="D20" i="3" s="1"/>
  <c r="D21" i="3" s="1"/>
  <c r="D22" i="3" s="1"/>
  <c r="D23" i="3" s="1"/>
  <c r="D25" i="3"/>
  <c r="D26" i="3" s="1"/>
  <c r="D27" i="3" s="1"/>
  <c r="D28" i="3" s="1"/>
  <c r="C8" i="3"/>
  <c r="C9" i="3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8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</calcChain>
</file>

<file path=xl/sharedStrings.xml><?xml version="1.0" encoding="utf-8"?>
<sst xmlns="http://schemas.openxmlformats.org/spreadsheetml/2006/main" count="102" uniqueCount="38">
  <si>
    <t>entity_id</t>
  </si>
  <si>
    <t>state</t>
  </si>
  <si>
    <t>last_changed</t>
  </si>
  <si>
    <t>sensor.master_bed_temperature_average</t>
  </si>
  <si>
    <t>2025-06-19T03:25:00.000Z</t>
  </si>
  <si>
    <t>2025-06-19T03:27:25.655Z</t>
  </si>
  <si>
    <t>2025-06-19T03:28:38.529Z</t>
  </si>
  <si>
    <t>2025-06-19T04:00:34.225Z</t>
  </si>
  <si>
    <t>2025-06-19T04:29:29.881Z</t>
  </si>
  <si>
    <t>2025-06-19T05:16:23.134Z</t>
  </si>
  <si>
    <t>sensor.outside_temperature_coldest_sensor</t>
  </si>
  <si>
    <t>2025-06-19T03:33:25.133Z</t>
  </si>
  <si>
    <t>2025-06-19T03:48:30.972Z</t>
  </si>
  <si>
    <t>2025-06-19T03:54:03.840Z</t>
  </si>
  <si>
    <t>2025-06-19T03:54:16.889Z</t>
  </si>
  <si>
    <t>2025-06-19T03:59:04.791Z</t>
  </si>
  <si>
    <t>2025-06-19T04:02:16.945Z</t>
  </si>
  <si>
    <t>2025-06-19T04:07:06.234Z</t>
  </si>
  <si>
    <t>2025-06-19T04:14:16.954Z</t>
  </si>
  <si>
    <t>2025-06-19T04:22:08.882Z</t>
  </si>
  <si>
    <t>2025-06-19T04:26:16.869Z</t>
  </si>
  <si>
    <t>2025-06-19T04:35:11.084Z</t>
  </si>
  <si>
    <t>2025-06-19T04:41:16.678Z</t>
  </si>
  <si>
    <t>2025-06-19T04:50:13.567Z</t>
  </si>
  <si>
    <t>2025-06-19T04:56:16.411Z</t>
  </si>
  <si>
    <t>2025-06-19T05:05:15.943Z</t>
  </si>
  <si>
    <t>2025-06-19T05:11:16.054Z</t>
  </si>
  <si>
    <t>2025-06-19T05:20:18.225Z</t>
  </si>
  <si>
    <t>2025-06-19T05:35:20.431Z</t>
  </si>
  <si>
    <t>2025-06-19T05:50:22.596Z</t>
  </si>
  <si>
    <t>binary_sensor.master_bed_window_fan_state</t>
  </si>
  <si>
    <t>2025-06-19T03:29:07.121Z</t>
  </si>
  <si>
    <t>2025-06-19T05:48:53.249Z</t>
  </si>
  <si>
    <t>Sum of state</t>
  </si>
  <si>
    <t>Column Labels</t>
  </si>
  <si>
    <t>Grand Total</t>
  </si>
  <si>
    <t>Row Labels</t>
  </si>
  <si>
    <t>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</si>
</sst>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16" fillId="33" borderId="10" xfId="0" applyNumberFormat="1" applyFont="1" applyFill="1" applyBorder="1"/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left" vertical="bottom" textRotation="0" wrapText="0" indent="0" justifyLastLine="0" shrinkToFit="0" readingOrder="0"/>
    </dxf>
    <dxf>
      <numFmt numFmtId="164" formatCode="[$-F400]h:mm:ss\ AM/PM"/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Aggar" refreshedDate="45827.782721990741" createdVersion="8" refreshedVersion="8" minRefreshableVersion="3" recordCount="29" xr:uid="{317342BF-6C4A-410D-8717-AE7ECB00A1F1}">
  <cacheSource type="worksheet">
    <worksheetSource name="Table1"/>
  </cacheSource>
  <cacheFields count="3">
    <cacheField name="entity_id" numFmtId="0">
      <sharedItems count="3">
        <s v="sensor.master_bed_temperature_average"/>
        <s v="sensor.outside_temperature_coldest_sensor"/>
        <s v="binary_sensor.master_bed_window_fan_state"/>
      </sharedItems>
    </cacheField>
    <cacheField name="state" numFmtId="0">
      <sharedItems containsSemiMixedTypes="0" containsString="0" containsNumber="1" minValue="0" maxValue="75.2"/>
    </cacheField>
    <cacheField name="last_changed" numFmtId="0">
      <sharedItems count="27">
        <s v="2025-06-19T03:25:00.000Z"/>
        <s v="2025-06-19T03:27:25.655Z"/>
        <s v="2025-06-19T03:28:38.529Z"/>
        <s v="2025-06-19T04:00:34.225Z"/>
        <s v="2025-06-19T04:29:29.881Z"/>
        <s v="2025-06-19T05:16:23.134Z"/>
        <s v="2025-06-19T03:33:25.133Z"/>
        <s v="2025-06-19T03:48:30.972Z"/>
        <s v="2025-06-19T03:54:03.840Z"/>
        <s v="2025-06-19T03:54:16.889Z"/>
        <s v="2025-06-19T03:59:04.791Z"/>
        <s v="2025-06-19T04:02:16.945Z"/>
        <s v="2025-06-19T04:07:06.234Z"/>
        <s v="2025-06-19T04:14:16.954Z"/>
        <s v="2025-06-19T04:22:08.882Z"/>
        <s v="2025-06-19T04:26:16.869Z"/>
        <s v="2025-06-19T04:35:11.084Z"/>
        <s v="2025-06-19T04:41:16.678Z"/>
        <s v="2025-06-19T04:50:13.567Z"/>
        <s v="2025-06-19T04:56:16.411Z"/>
        <s v="2025-06-19T05:05:15.943Z"/>
        <s v="2025-06-19T05:11:16.054Z"/>
        <s v="2025-06-19T05:20:18.225Z"/>
        <s v="2025-06-19T05:35:20.431Z"/>
        <s v="2025-06-19T05:50:22.596Z"/>
        <s v="2025-06-19T03:29:07.121Z"/>
        <s v="2025-06-19T05:48:53.249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73.400000000000006"/>
    <x v="0"/>
  </r>
  <r>
    <x v="0"/>
    <n v="75.2"/>
    <x v="1"/>
  </r>
  <r>
    <x v="0"/>
    <n v="73.400000000000006"/>
    <x v="2"/>
  </r>
  <r>
    <x v="0"/>
    <n v="71.599999999999994"/>
    <x v="3"/>
  </r>
  <r>
    <x v="0"/>
    <n v="69.8"/>
    <x v="4"/>
  </r>
  <r>
    <x v="0"/>
    <n v="68"/>
    <x v="5"/>
  </r>
  <r>
    <x v="1"/>
    <n v="65.174000000000007"/>
    <x v="0"/>
  </r>
  <r>
    <x v="1"/>
    <n v="65.138000000000005"/>
    <x v="6"/>
  </r>
  <r>
    <x v="1"/>
    <n v="64.652000000000001"/>
    <x v="7"/>
  </r>
  <r>
    <x v="1"/>
    <n v="64.525999999999996"/>
    <x v="8"/>
  </r>
  <r>
    <x v="1"/>
    <n v="64.183999999999997"/>
    <x v="9"/>
  </r>
  <r>
    <x v="1"/>
    <n v="63.554000000000002"/>
    <x v="10"/>
  </r>
  <r>
    <x v="1"/>
    <n v="63.247999999999998"/>
    <x v="11"/>
  </r>
  <r>
    <x v="1"/>
    <n v="62.564"/>
    <x v="12"/>
  </r>
  <r>
    <x v="1"/>
    <n v="62.347999999999999"/>
    <x v="13"/>
  </r>
  <r>
    <x v="1"/>
    <n v="61.7"/>
    <x v="14"/>
  </r>
  <r>
    <x v="1"/>
    <n v="61.43"/>
    <x v="15"/>
  </r>
  <r>
    <x v="1"/>
    <n v="60.8"/>
    <x v="16"/>
  </r>
  <r>
    <x v="1"/>
    <n v="60.655999999999999"/>
    <x v="17"/>
  </r>
  <r>
    <x v="1"/>
    <n v="60.116"/>
    <x v="18"/>
  </r>
  <r>
    <x v="1"/>
    <n v="60.026000000000003"/>
    <x v="19"/>
  </r>
  <r>
    <x v="1"/>
    <n v="59.252000000000002"/>
    <x v="20"/>
  </r>
  <r>
    <x v="1"/>
    <n v="59.18"/>
    <x v="21"/>
  </r>
  <r>
    <x v="1"/>
    <n v="58.55"/>
    <x v="22"/>
  </r>
  <r>
    <x v="1"/>
    <n v="58.136000000000003"/>
    <x v="23"/>
  </r>
  <r>
    <x v="1"/>
    <n v="57.938000000000002"/>
    <x v="24"/>
  </r>
  <r>
    <x v="2"/>
    <n v="0"/>
    <x v="0"/>
  </r>
  <r>
    <x v="2"/>
    <n v="1"/>
    <x v="25"/>
  </r>
  <r>
    <x v="2"/>
    <n v="0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37EF2-C4C2-4EE4-8B04-CC5770B7413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2" firstHeaderRow="1" firstDataRow="2" firstDataCol="1"/>
  <pivotFields count="3">
    <pivotField axis="axisCol" showAll="0">
      <items count="4">
        <item x="2"/>
        <item x="0"/>
        <item x="1"/>
        <item t="default"/>
      </items>
    </pivotField>
    <pivotField dataField="1" showAll="0"/>
    <pivotField axis="axisRow" showAll="0">
      <items count="28">
        <item x="0"/>
        <item x="1"/>
        <item x="2"/>
        <item x="25"/>
        <item x="6"/>
        <item x="7"/>
        <item x="8"/>
        <item x="9"/>
        <item x="10"/>
        <item x="3"/>
        <item x="11"/>
        <item x="12"/>
        <item x="13"/>
        <item x="14"/>
        <item x="15"/>
        <item x="4"/>
        <item x="16"/>
        <item x="17"/>
        <item x="18"/>
        <item x="19"/>
        <item x="20"/>
        <item x="21"/>
        <item x="5"/>
        <item x="22"/>
        <item x="23"/>
        <item x="26"/>
        <item x="24"/>
        <item t="default"/>
      </items>
    </pivotField>
  </pivotFields>
  <rowFields count="1">
    <field x="2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stat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0B1A40-7E21-40F1-AEF8-6302C320005F}" name="Table2" displayName="Table2" ref="A1:F28" totalsRowShown="0" headerRowDxfId="7" headerRowBorderDxfId="6">
  <autoFilter ref="A1:F28" xr:uid="{2C0B1A40-7E21-40F1-AEF8-6302C320005F}"/>
  <tableColumns count="6">
    <tableColumn id="1" xr3:uid="{3ECF7B26-86E4-43DB-A109-EBC5504866E3}" name="Row Labels" dataDxfId="5"/>
    <tableColumn id="6" xr3:uid="{3E95E141-A5D1-462D-A892-5D3225F5AF53}" name="PDT" dataDxfId="4">
      <calculatedColumnFormula>Table2[[#This Row],[Row Labels]]-(8/24)</calculatedColumnFormula>
    </tableColumn>
    <tableColumn id="2" xr3:uid="{0BDB6BA6-5951-4F38-96C3-8DBF85CD60DE}" name="binary_sensor.master_bed_window_fan_state" dataDxfId="3"/>
    <tableColumn id="3" xr3:uid="{2EA9DF60-BB31-48ED-AB43-4A255A14B2A2}" name="sensor.master_bed_temperature_average" dataDxfId="2"/>
    <tableColumn id="4" xr3:uid="{271B1E1A-EA92-4B96-AE93-3AC3A8A24148}" name="sensor.outside_temperature_coldest_sensor" dataDxfId="1"/>
    <tableColumn id="5" xr3:uid="{83942CF9-78C8-4FC5-BA99-D9656E639874}" name="Grand Total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7FC03-08C8-4B08-AEE4-67C7B92304A8}" name="Table1" displayName="Table1" ref="A1:C30" totalsRowShown="0">
  <autoFilter ref="A1:C30" xr:uid="{C407FC03-08C8-4B08-AEE4-67C7B92304A8}"/>
  <tableColumns count="3">
    <tableColumn id="1" xr3:uid="{290B44F6-F396-4722-879F-10C83BDB0131}" name="entity_id"/>
    <tableColumn id="2" xr3:uid="{8BA91473-0C93-4531-9A2F-9423E38B15C6}" name="state"/>
    <tableColumn id="3" xr3:uid="{59D95C2B-323E-48EA-B409-C7D5C923CB17}" name="last_chang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6B73-1ABF-4DCB-8CF7-58988D7F22E9}">
  <dimension ref="A3:E32"/>
  <sheetViews>
    <sheetView workbookViewId="0">
      <selection activeCell="A4" sqref="A4:E31"/>
    </sheetView>
  </sheetViews>
  <sheetFormatPr defaultRowHeight="15" x14ac:dyDescent="0.25"/>
  <cols>
    <col min="1" max="1" width="23.5703125" bestFit="1" customWidth="1"/>
    <col min="2" max="2" width="42.7109375" bestFit="1" customWidth="1"/>
    <col min="3" max="3" width="39.28515625" bestFit="1" customWidth="1"/>
    <col min="4" max="4" width="42.42578125" bestFit="1" customWidth="1"/>
    <col min="5" max="5" width="11.28515625" bestFit="1" customWidth="1"/>
  </cols>
  <sheetData>
    <row r="3" spans="1:5" x14ac:dyDescent="0.25">
      <c r="A3" s="2" t="s">
        <v>33</v>
      </c>
      <c r="B3" s="2" t="s">
        <v>34</v>
      </c>
    </row>
    <row r="4" spans="1:5" x14ac:dyDescent="0.25">
      <c r="A4" s="2" t="s">
        <v>36</v>
      </c>
      <c r="B4" t="s">
        <v>30</v>
      </c>
      <c r="C4" t="s">
        <v>3</v>
      </c>
      <c r="D4" t="s">
        <v>10</v>
      </c>
      <c r="E4" t="s">
        <v>35</v>
      </c>
    </row>
    <row r="5" spans="1:5" x14ac:dyDescent="0.25">
      <c r="A5" s="3" t="s">
        <v>4</v>
      </c>
      <c r="B5">
        <v>0</v>
      </c>
      <c r="C5">
        <v>73.400000000000006</v>
      </c>
      <c r="D5">
        <v>65.174000000000007</v>
      </c>
      <c r="E5">
        <v>138.57400000000001</v>
      </c>
    </row>
    <row r="6" spans="1:5" x14ac:dyDescent="0.25">
      <c r="A6" s="3" t="s">
        <v>5</v>
      </c>
      <c r="C6">
        <v>75.2</v>
      </c>
      <c r="E6">
        <v>75.2</v>
      </c>
    </row>
    <row r="7" spans="1:5" x14ac:dyDescent="0.25">
      <c r="A7" s="3" t="s">
        <v>6</v>
      </c>
      <c r="C7">
        <v>73.400000000000006</v>
      </c>
      <c r="E7">
        <v>73.400000000000006</v>
      </c>
    </row>
    <row r="8" spans="1:5" x14ac:dyDescent="0.25">
      <c r="A8" s="3" t="s">
        <v>31</v>
      </c>
      <c r="B8">
        <v>1</v>
      </c>
      <c r="E8">
        <v>1</v>
      </c>
    </row>
    <row r="9" spans="1:5" x14ac:dyDescent="0.25">
      <c r="A9" s="3" t="s">
        <v>11</v>
      </c>
      <c r="D9">
        <v>65.138000000000005</v>
      </c>
      <c r="E9">
        <v>65.138000000000005</v>
      </c>
    </row>
    <row r="10" spans="1:5" x14ac:dyDescent="0.25">
      <c r="A10" s="3" t="s">
        <v>12</v>
      </c>
      <c r="D10">
        <v>64.652000000000001</v>
      </c>
      <c r="E10">
        <v>64.652000000000001</v>
      </c>
    </row>
    <row r="11" spans="1:5" x14ac:dyDescent="0.25">
      <c r="A11" s="3" t="s">
        <v>13</v>
      </c>
      <c r="D11">
        <v>64.525999999999996</v>
      </c>
      <c r="E11">
        <v>64.525999999999996</v>
      </c>
    </row>
    <row r="12" spans="1:5" x14ac:dyDescent="0.25">
      <c r="A12" s="3" t="s">
        <v>14</v>
      </c>
      <c r="D12">
        <v>64.183999999999997</v>
      </c>
      <c r="E12">
        <v>64.183999999999997</v>
      </c>
    </row>
    <row r="13" spans="1:5" x14ac:dyDescent="0.25">
      <c r="A13" s="3" t="s">
        <v>15</v>
      </c>
      <c r="D13">
        <v>63.554000000000002</v>
      </c>
      <c r="E13">
        <v>63.554000000000002</v>
      </c>
    </row>
    <row r="14" spans="1:5" x14ac:dyDescent="0.25">
      <c r="A14" s="3" t="s">
        <v>7</v>
      </c>
      <c r="C14">
        <v>71.599999999999994</v>
      </c>
      <c r="E14">
        <v>71.599999999999994</v>
      </c>
    </row>
    <row r="15" spans="1:5" x14ac:dyDescent="0.25">
      <c r="A15" s="3" t="s">
        <v>16</v>
      </c>
      <c r="D15">
        <v>63.247999999999998</v>
      </c>
      <c r="E15">
        <v>63.247999999999998</v>
      </c>
    </row>
    <row r="16" spans="1:5" x14ac:dyDescent="0.25">
      <c r="A16" s="3" t="s">
        <v>17</v>
      </c>
      <c r="D16">
        <v>62.564</v>
      </c>
      <c r="E16">
        <v>62.564</v>
      </c>
    </row>
    <row r="17" spans="1:5" x14ac:dyDescent="0.25">
      <c r="A17" s="3" t="s">
        <v>18</v>
      </c>
      <c r="D17">
        <v>62.347999999999999</v>
      </c>
      <c r="E17">
        <v>62.347999999999999</v>
      </c>
    </row>
    <row r="18" spans="1:5" x14ac:dyDescent="0.25">
      <c r="A18" s="3" t="s">
        <v>19</v>
      </c>
      <c r="D18">
        <v>61.7</v>
      </c>
      <c r="E18">
        <v>61.7</v>
      </c>
    </row>
    <row r="19" spans="1:5" x14ac:dyDescent="0.25">
      <c r="A19" s="3" t="s">
        <v>20</v>
      </c>
      <c r="D19">
        <v>61.43</v>
      </c>
      <c r="E19">
        <v>61.43</v>
      </c>
    </row>
    <row r="20" spans="1:5" x14ac:dyDescent="0.25">
      <c r="A20" s="3" t="s">
        <v>8</v>
      </c>
      <c r="C20">
        <v>69.8</v>
      </c>
      <c r="E20">
        <v>69.8</v>
      </c>
    </row>
    <row r="21" spans="1:5" x14ac:dyDescent="0.25">
      <c r="A21" s="3" t="s">
        <v>21</v>
      </c>
      <c r="D21">
        <v>60.8</v>
      </c>
      <c r="E21">
        <v>60.8</v>
      </c>
    </row>
    <row r="22" spans="1:5" x14ac:dyDescent="0.25">
      <c r="A22" s="3" t="s">
        <v>22</v>
      </c>
      <c r="D22">
        <v>60.655999999999999</v>
      </c>
      <c r="E22">
        <v>60.655999999999999</v>
      </c>
    </row>
    <row r="23" spans="1:5" x14ac:dyDescent="0.25">
      <c r="A23" s="3" t="s">
        <v>23</v>
      </c>
      <c r="D23">
        <v>60.116</v>
      </c>
      <c r="E23">
        <v>60.116</v>
      </c>
    </row>
    <row r="24" spans="1:5" x14ac:dyDescent="0.25">
      <c r="A24" s="3" t="s">
        <v>24</v>
      </c>
      <c r="D24">
        <v>60.026000000000003</v>
      </c>
      <c r="E24">
        <v>60.026000000000003</v>
      </c>
    </row>
    <row r="25" spans="1:5" x14ac:dyDescent="0.25">
      <c r="A25" s="3" t="s">
        <v>25</v>
      </c>
      <c r="D25">
        <v>59.252000000000002</v>
      </c>
      <c r="E25">
        <v>59.252000000000002</v>
      </c>
    </row>
    <row r="26" spans="1:5" x14ac:dyDescent="0.25">
      <c r="A26" s="3" t="s">
        <v>26</v>
      </c>
      <c r="D26">
        <v>59.18</v>
      </c>
      <c r="E26">
        <v>59.18</v>
      </c>
    </row>
    <row r="27" spans="1:5" x14ac:dyDescent="0.25">
      <c r="A27" s="3" t="s">
        <v>9</v>
      </c>
      <c r="C27">
        <v>68</v>
      </c>
      <c r="E27">
        <v>68</v>
      </c>
    </row>
    <row r="28" spans="1:5" x14ac:dyDescent="0.25">
      <c r="A28" s="3" t="s">
        <v>27</v>
      </c>
      <c r="D28">
        <v>58.55</v>
      </c>
      <c r="E28">
        <v>58.55</v>
      </c>
    </row>
    <row r="29" spans="1:5" x14ac:dyDescent="0.25">
      <c r="A29" s="3" t="s">
        <v>28</v>
      </c>
      <c r="D29">
        <v>58.136000000000003</v>
      </c>
      <c r="E29">
        <v>58.136000000000003</v>
      </c>
    </row>
    <row r="30" spans="1:5" x14ac:dyDescent="0.25">
      <c r="A30" s="3" t="s">
        <v>32</v>
      </c>
      <c r="B30">
        <v>0</v>
      </c>
      <c r="E30">
        <v>0</v>
      </c>
    </row>
    <row r="31" spans="1:5" x14ac:dyDescent="0.25">
      <c r="A31" s="3" t="s">
        <v>29</v>
      </c>
      <c r="D31">
        <v>57.938000000000002</v>
      </c>
      <c r="E31">
        <v>57.938000000000002</v>
      </c>
    </row>
    <row r="32" spans="1:5" x14ac:dyDescent="0.25">
      <c r="A32" s="3" t="s">
        <v>35</v>
      </c>
      <c r="B32">
        <v>1</v>
      </c>
      <c r="C32">
        <v>431.40000000000003</v>
      </c>
      <c r="D32">
        <v>1233.1719999999998</v>
      </c>
      <c r="E32">
        <v>1665.5719999999999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9B50-670B-4695-86BC-E599EAEF269E}">
  <dimension ref="A1:F28"/>
  <sheetViews>
    <sheetView workbookViewId="0">
      <selection activeCell="A2" sqref="A2"/>
    </sheetView>
  </sheetViews>
  <sheetFormatPr defaultRowHeight="15" x14ac:dyDescent="0.25"/>
  <cols>
    <col min="1" max="2" width="13.28515625" customWidth="1"/>
    <col min="3" max="3" width="43.7109375" customWidth="1"/>
    <col min="4" max="4" width="40.42578125" customWidth="1"/>
    <col min="5" max="5" width="43.42578125" customWidth="1"/>
    <col min="6" max="6" width="13.42578125" customWidth="1"/>
  </cols>
  <sheetData>
    <row r="1" spans="1:6" x14ac:dyDescent="0.25">
      <c r="A1" s="4" t="s">
        <v>36</v>
      </c>
      <c r="B1" s="4" t="s">
        <v>37</v>
      </c>
      <c r="C1" s="1" t="s">
        <v>30</v>
      </c>
      <c r="D1" s="1" t="s">
        <v>3</v>
      </c>
      <c r="E1" s="1" t="s">
        <v>10</v>
      </c>
      <c r="F1" s="1" t="s">
        <v>35</v>
      </c>
    </row>
    <row r="2" spans="1:6" x14ac:dyDescent="0.25">
      <c r="A2" s="5">
        <v>45827.142361111109</v>
      </c>
      <c r="B2" s="5">
        <f>Table2[[#This Row],[Row Labels]]-(8/24)</f>
        <v>45826.809027777774</v>
      </c>
      <c r="C2">
        <v>0</v>
      </c>
      <c r="D2">
        <v>73.400000000000006</v>
      </c>
      <c r="E2">
        <v>65.174000000000007</v>
      </c>
      <c r="F2">
        <v>138.57400000000001</v>
      </c>
    </row>
    <row r="3" spans="1:6" x14ac:dyDescent="0.25">
      <c r="A3" s="5">
        <v>45827.144046932874</v>
      </c>
      <c r="B3" s="5">
        <f>Table2[[#This Row],[Row Labels]]-(8/24)</f>
        <v>45826.810713599538</v>
      </c>
      <c r="C3">
        <v>0</v>
      </c>
      <c r="D3">
        <v>75.2</v>
      </c>
      <c r="E3">
        <f>E2</f>
        <v>65.174000000000007</v>
      </c>
      <c r="F3">
        <v>75.2</v>
      </c>
    </row>
    <row r="4" spans="1:6" x14ac:dyDescent="0.25">
      <c r="A4" s="5">
        <v>45827.144890381947</v>
      </c>
      <c r="B4" s="5">
        <f>Table2[[#This Row],[Row Labels]]-(8/24)</f>
        <v>45826.811557048612</v>
      </c>
      <c r="C4">
        <v>0</v>
      </c>
      <c r="D4">
        <v>73.400000000000006</v>
      </c>
      <c r="E4">
        <f t="shared" ref="E4:E5" si="0">E3</f>
        <v>65.174000000000007</v>
      </c>
      <c r="F4">
        <v>73.400000000000006</v>
      </c>
    </row>
    <row r="5" spans="1:6" x14ac:dyDescent="0.25">
      <c r="A5" s="5">
        <v>45827.145221307874</v>
      </c>
      <c r="B5" s="5">
        <f>Table2[[#This Row],[Row Labels]]-(8/24)</f>
        <v>45826.811887974538</v>
      </c>
      <c r="C5">
        <v>1</v>
      </c>
      <c r="D5">
        <f t="shared" ref="D5:D10" si="1">D4</f>
        <v>73.400000000000006</v>
      </c>
      <c r="E5">
        <f t="shared" si="0"/>
        <v>65.174000000000007</v>
      </c>
      <c r="F5">
        <v>1</v>
      </c>
    </row>
    <row r="6" spans="1:6" x14ac:dyDescent="0.25">
      <c r="A6" s="5">
        <v>45827.148207557868</v>
      </c>
      <c r="B6" s="5">
        <f>Table2[[#This Row],[Row Labels]]-(8/24)</f>
        <v>45826.814874224532</v>
      </c>
      <c r="C6">
        <v>1</v>
      </c>
      <c r="D6">
        <f t="shared" si="1"/>
        <v>73.400000000000006</v>
      </c>
      <c r="E6">
        <v>65.138000000000005</v>
      </c>
      <c r="F6">
        <v>65.138000000000005</v>
      </c>
    </row>
    <row r="7" spans="1:6" x14ac:dyDescent="0.25">
      <c r="A7" s="5">
        <v>45827.158691805555</v>
      </c>
      <c r="B7" s="5">
        <f>Table2[[#This Row],[Row Labels]]-(8/24)</f>
        <v>45826.825358472219</v>
      </c>
      <c r="C7">
        <v>1</v>
      </c>
      <c r="D7">
        <f t="shared" si="1"/>
        <v>73.400000000000006</v>
      </c>
      <c r="E7">
        <v>64.652000000000001</v>
      </c>
      <c r="F7">
        <v>64.652000000000001</v>
      </c>
    </row>
    <row r="8" spans="1:6" x14ac:dyDescent="0.25">
      <c r="A8" s="5">
        <v>45827.162544444443</v>
      </c>
      <c r="B8" s="5">
        <f>Table2[[#This Row],[Row Labels]]-(8/24)</f>
        <v>45826.829211111108</v>
      </c>
      <c r="C8">
        <f t="shared" ref="C8:C26" si="2">C7</f>
        <v>1</v>
      </c>
      <c r="D8">
        <f t="shared" si="1"/>
        <v>73.400000000000006</v>
      </c>
      <c r="E8">
        <v>64.525999999999996</v>
      </c>
      <c r="F8">
        <v>64.525999999999996</v>
      </c>
    </row>
    <row r="9" spans="1:6" x14ac:dyDescent="0.25">
      <c r="A9" s="5">
        <v>45827.162695474537</v>
      </c>
      <c r="B9" s="5">
        <f>Table2[[#This Row],[Row Labels]]-(8/24)</f>
        <v>45826.829362141201</v>
      </c>
      <c r="C9">
        <f t="shared" si="2"/>
        <v>1</v>
      </c>
      <c r="D9">
        <f t="shared" si="1"/>
        <v>73.400000000000006</v>
      </c>
      <c r="E9">
        <v>64.183999999999997</v>
      </c>
      <c r="F9">
        <v>64.183999999999997</v>
      </c>
    </row>
    <row r="10" spans="1:6" x14ac:dyDescent="0.25">
      <c r="A10" s="5">
        <v>45827.166027673615</v>
      </c>
      <c r="B10" s="5">
        <f>Table2[[#This Row],[Row Labels]]-(8/24)</f>
        <v>45826.832694340279</v>
      </c>
      <c r="C10">
        <f t="shared" si="2"/>
        <v>1</v>
      </c>
      <c r="D10">
        <f t="shared" si="1"/>
        <v>73.400000000000006</v>
      </c>
      <c r="E10">
        <v>63.554000000000002</v>
      </c>
      <c r="F10">
        <v>63.554000000000002</v>
      </c>
    </row>
    <row r="11" spans="1:6" x14ac:dyDescent="0.25">
      <c r="A11" s="5">
        <v>45827.167062789355</v>
      </c>
      <c r="B11" s="5">
        <f>Table2[[#This Row],[Row Labels]]-(8/24)</f>
        <v>45826.833729456019</v>
      </c>
      <c r="C11">
        <f t="shared" si="2"/>
        <v>1</v>
      </c>
      <c r="D11">
        <v>71.599999999999994</v>
      </c>
      <c r="E11">
        <f>E10</f>
        <v>63.554000000000002</v>
      </c>
      <c r="F11">
        <v>71.599999999999994</v>
      </c>
    </row>
    <row r="12" spans="1:6" x14ac:dyDescent="0.25">
      <c r="A12" s="5">
        <v>45827.168251678238</v>
      </c>
      <c r="B12" s="5">
        <f>Table2[[#This Row],[Row Labels]]-(8/24)</f>
        <v>45826.834918344903</v>
      </c>
      <c r="C12">
        <f t="shared" si="2"/>
        <v>1</v>
      </c>
      <c r="D12">
        <f t="shared" ref="D12:D16" si="3">D11</f>
        <v>71.599999999999994</v>
      </c>
      <c r="E12">
        <v>63.247999999999998</v>
      </c>
      <c r="F12">
        <v>63.247999999999998</v>
      </c>
    </row>
    <row r="13" spans="1:6" x14ac:dyDescent="0.25">
      <c r="A13" s="5">
        <v>45827.171599930552</v>
      </c>
      <c r="B13" s="5">
        <f>Table2[[#This Row],[Row Labels]]-(8/24)</f>
        <v>45826.838266597217</v>
      </c>
      <c r="C13">
        <f t="shared" si="2"/>
        <v>1</v>
      </c>
      <c r="D13">
        <f t="shared" si="3"/>
        <v>71.599999999999994</v>
      </c>
      <c r="E13">
        <v>62.564</v>
      </c>
      <c r="F13">
        <v>62.564</v>
      </c>
    </row>
    <row r="14" spans="1:6" x14ac:dyDescent="0.25">
      <c r="A14" s="5">
        <v>45827.17658511574</v>
      </c>
      <c r="B14" s="5">
        <f>Table2[[#This Row],[Row Labels]]-(8/24)</f>
        <v>45826.843251782404</v>
      </c>
      <c r="C14">
        <f t="shared" si="2"/>
        <v>1</v>
      </c>
      <c r="D14">
        <f t="shared" si="3"/>
        <v>71.599999999999994</v>
      </c>
      <c r="E14">
        <v>62.347999999999999</v>
      </c>
      <c r="F14">
        <v>62.347999999999999</v>
      </c>
    </row>
    <row r="15" spans="1:6" x14ac:dyDescent="0.25">
      <c r="A15" s="5">
        <v>45827.182047245369</v>
      </c>
      <c r="B15" s="5">
        <f>Table2[[#This Row],[Row Labels]]-(8/24)</f>
        <v>45826.848713912033</v>
      </c>
      <c r="C15">
        <f t="shared" si="2"/>
        <v>1</v>
      </c>
      <c r="D15">
        <f t="shared" si="3"/>
        <v>71.599999999999994</v>
      </c>
      <c r="E15">
        <v>61.7</v>
      </c>
      <c r="F15">
        <v>61.7</v>
      </c>
    </row>
    <row r="16" spans="1:6" x14ac:dyDescent="0.25">
      <c r="A16" s="5">
        <v>45827.184917465274</v>
      </c>
      <c r="B16" s="5">
        <f>Table2[[#This Row],[Row Labels]]-(8/24)</f>
        <v>45826.851584131939</v>
      </c>
      <c r="C16">
        <f t="shared" si="2"/>
        <v>1</v>
      </c>
      <c r="D16">
        <f t="shared" si="3"/>
        <v>71.599999999999994</v>
      </c>
      <c r="E16">
        <v>61.43</v>
      </c>
      <c r="F16">
        <v>61.43</v>
      </c>
    </row>
    <row r="17" spans="1:6" x14ac:dyDescent="0.25">
      <c r="A17" s="5">
        <v>45827.18715140046</v>
      </c>
      <c r="B17" s="5">
        <f>Table2[[#This Row],[Row Labels]]-(8/24)</f>
        <v>45826.853818067124</v>
      </c>
      <c r="C17">
        <f t="shared" si="2"/>
        <v>1</v>
      </c>
      <c r="D17">
        <v>69.8</v>
      </c>
      <c r="E17">
        <f>E16</f>
        <v>61.43</v>
      </c>
      <c r="F17">
        <v>69.8</v>
      </c>
    </row>
    <row r="18" spans="1:6" x14ac:dyDescent="0.25">
      <c r="A18" s="5">
        <v>45827.191100509262</v>
      </c>
      <c r="B18" s="5">
        <f>Table2[[#This Row],[Row Labels]]-(8/24)</f>
        <v>45826.857767175927</v>
      </c>
      <c r="C18">
        <f t="shared" si="2"/>
        <v>1</v>
      </c>
      <c r="D18">
        <f t="shared" ref="D18:D23" si="4">D17</f>
        <v>69.8</v>
      </c>
      <c r="E18">
        <v>60.8</v>
      </c>
      <c r="F18">
        <v>60.8</v>
      </c>
    </row>
    <row r="19" spans="1:6" x14ac:dyDescent="0.25">
      <c r="A19" s="5">
        <v>45827.195331921299</v>
      </c>
      <c r="B19" s="5">
        <f>Table2[[#This Row],[Row Labels]]-(8/24)</f>
        <v>45826.861998587963</v>
      </c>
      <c r="C19">
        <f t="shared" si="2"/>
        <v>1</v>
      </c>
      <c r="D19">
        <f t="shared" si="4"/>
        <v>69.8</v>
      </c>
      <c r="E19">
        <v>60.655999999999999</v>
      </c>
      <c r="F19">
        <v>60.655999999999999</v>
      </c>
    </row>
    <row r="20" spans="1:6" x14ac:dyDescent="0.25">
      <c r="A20" s="5">
        <v>45827.201545914351</v>
      </c>
      <c r="B20" s="5">
        <f>Table2[[#This Row],[Row Labels]]-(8/24)</f>
        <v>45826.868212581016</v>
      </c>
      <c r="C20">
        <f t="shared" si="2"/>
        <v>1</v>
      </c>
      <c r="D20">
        <f t="shared" si="4"/>
        <v>69.8</v>
      </c>
      <c r="E20">
        <v>60.116</v>
      </c>
      <c r="F20">
        <v>60.116</v>
      </c>
    </row>
    <row r="21" spans="1:6" x14ac:dyDescent="0.25">
      <c r="A21" s="5">
        <v>45827.205745497682</v>
      </c>
      <c r="B21" s="5">
        <f>Table2[[#This Row],[Row Labels]]-(8/24)</f>
        <v>45826.872412164346</v>
      </c>
      <c r="C21">
        <f t="shared" si="2"/>
        <v>1</v>
      </c>
      <c r="D21">
        <f t="shared" si="4"/>
        <v>69.8</v>
      </c>
      <c r="E21">
        <v>60.026000000000003</v>
      </c>
      <c r="F21">
        <v>60.026000000000003</v>
      </c>
    </row>
    <row r="22" spans="1:6" x14ac:dyDescent="0.25">
      <c r="A22" s="5">
        <v>45827.211990081021</v>
      </c>
      <c r="B22" s="5">
        <f>Table2[[#This Row],[Row Labels]]-(8/24)</f>
        <v>45826.878656747685</v>
      </c>
      <c r="C22">
        <f t="shared" si="2"/>
        <v>1</v>
      </c>
      <c r="D22">
        <f t="shared" si="4"/>
        <v>69.8</v>
      </c>
      <c r="E22">
        <v>59.252000000000002</v>
      </c>
      <c r="F22">
        <v>59.252000000000002</v>
      </c>
    </row>
    <row r="23" spans="1:6" x14ac:dyDescent="0.25">
      <c r="A23" s="5">
        <v>45827.21615803241</v>
      </c>
      <c r="B23" s="5">
        <f>Table2[[#This Row],[Row Labels]]-(8/24)</f>
        <v>45826.882824699074</v>
      </c>
      <c r="C23">
        <f t="shared" si="2"/>
        <v>1</v>
      </c>
      <c r="D23">
        <f t="shared" si="4"/>
        <v>69.8</v>
      </c>
      <c r="E23">
        <v>59.18</v>
      </c>
      <c r="F23">
        <v>59.18</v>
      </c>
    </row>
    <row r="24" spans="1:6" x14ac:dyDescent="0.25">
      <c r="A24" s="5">
        <v>45827.219712199076</v>
      </c>
      <c r="B24" s="5">
        <f>Table2[[#This Row],[Row Labels]]-(8/24)</f>
        <v>45826.88637886574</v>
      </c>
      <c r="C24">
        <f t="shared" si="2"/>
        <v>1</v>
      </c>
      <c r="D24">
        <v>68</v>
      </c>
      <c r="E24">
        <f>E23</f>
        <v>59.18</v>
      </c>
      <c r="F24">
        <v>68</v>
      </c>
    </row>
    <row r="25" spans="1:6" x14ac:dyDescent="0.25">
      <c r="A25" s="5">
        <v>45827.222433159724</v>
      </c>
      <c r="B25" s="5">
        <f>Table2[[#This Row],[Row Labels]]-(8/24)</f>
        <v>45826.889099826389</v>
      </c>
      <c r="C25">
        <f t="shared" si="2"/>
        <v>1</v>
      </c>
      <c r="D25">
        <f t="shared" ref="D25:D28" si="5">D24</f>
        <v>68</v>
      </c>
      <c r="E25">
        <v>58.55</v>
      </c>
      <c r="F25">
        <v>58.55</v>
      </c>
    </row>
    <row r="26" spans="1:6" x14ac:dyDescent="0.25">
      <c r="A26" s="5">
        <v>45827.232875358794</v>
      </c>
      <c r="B26" s="5">
        <f>Table2[[#This Row],[Row Labels]]-(8/24)</f>
        <v>45826.899542025458</v>
      </c>
      <c r="C26">
        <f t="shared" si="2"/>
        <v>1</v>
      </c>
      <c r="D26">
        <f t="shared" si="5"/>
        <v>68</v>
      </c>
      <c r="E26">
        <v>58.136000000000003</v>
      </c>
      <c r="F26">
        <v>58.136000000000003</v>
      </c>
    </row>
    <row r="27" spans="1:6" x14ac:dyDescent="0.25">
      <c r="A27" s="5">
        <v>45827.242282974534</v>
      </c>
      <c r="B27" s="5">
        <f>Table2[[#This Row],[Row Labels]]-(8/24)</f>
        <v>45826.908949641198</v>
      </c>
      <c r="C27">
        <v>0</v>
      </c>
      <c r="D27">
        <f t="shared" si="5"/>
        <v>68</v>
      </c>
      <c r="E27">
        <f>E26</f>
        <v>58.136000000000003</v>
      </c>
      <c r="F27">
        <v>0</v>
      </c>
    </row>
    <row r="28" spans="1:6" x14ac:dyDescent="0.25">
      <c r="A28" s="5">
        <v>45827.243317083332</v>
      </c>
      <c r="B28" s="5">
        <f>Table2[[#This Row],[Row Labels]]-(8/24)</f>
        <v>45826.909983749996</v>
      </c>
      <c r="C28">
        <f>C27</f>
        <v>0</v>
      </c>
      <c r="D28">
        <f t="shared" si="5"/>
        <v>68</v>
      </c>
      <c r="E28">
        <v>57.938000000000002</v>
      </c>
      <c r="F28">
        <v>57.938000000000002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46E5-860C-4CE3-949F-A333E26BEAFE}">
  <dimension ref="A1:C30"/>
  <sheetViews>
    <sheetView tabSelected="1" workbookViewId="0">
      <selection sqref="A1:C30"/>
    </sheetView>
  </sheetViews>
  <sheetFormatPr defaultRowHeight="15" x14ac:dyDescent="0.25"/>
  <cols>
    <col min="1" max="1" width="41.85546875" bestFit="1" customWidth="1"/>
    <col min="3" max="3" width="3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73.400000000000006</v>
      </c>
      <c r="C2" t="s">
        <v>4</v>
      </c>
    </row>
    <row r="3" spans="1:3" x14ac:dyDescent="0.25">
      <c r="A3" t="s">
        <v>3</v>
      </c>
      <c r="B3">
        <v>75.2</v>
      </c>
      <c r="C3" t="s">
        <v>5</v>
      </c>
    </row>
    <row r="4" spans="1:3" x14ac:dyDescent="0.25">
      <c r="A4" t="s">
        <v>3</v>
      </c>
      <c r="B4">
        <v>73.400000000000006</v>
      </c>
      <c r="C4" t="s">
        <v>6</v>
      </c>
    </row>
    <row r="5" spans="1:3" x14ac:dyDescent="0.25">
      <c r="A5" t="s">
        <v>3</v>
      </c>
      <c r="B5">
        <v>71.599999999999994</v>
      </c>
      <c r="C5" t="s">
        <v>7</v>
      </c>
    </row>
    <row r="6" spans="1:3" x14ac:dyDescent="0.25">
      <c r="A6" t="s">
        <v>3</v>
      </c>
      <c r="B6">
        <v>69.8</v>
      </c>
      <c r="C6" t="s">
        <v>8</v>
      </c>
    </row>
    <row r="7" spans="1:3" x14ac:dyDescent="0.25">
      <c r="A7" t="s">
        <v>3</v>
      </c>
      <c r="B7">
        <v>68</v>
      </c>
      <c r="C7" t="s">
        <v>9</v>
      </c>
    </row>
    <row r="8" spans="1:3" x14ac:dyDescent="0.25">
      <c r="A8" t="s">
        <v>10</v>
      </c>
      <c r="B8">
        <v>65.174000000000007</v>
      </c>
      <c r="C8" t="s">
        <v>4</v>
      </c>
    </row>
    <row r="9" spans="1:3" x14ac:dyDescent="0.25">
      <c r="A9" t="s">
        <v>10</v>
      </c>
      <c r="B9">
        <v>65.138000000000005</v>
      </c>
      <c r="C9" t="s">
        <v>11</v>
      </c>
    </row>
    <row r="10" spans="1:3" x14ac:dyDescent="0.25">
      <c r="A10" t="s">
        <v>10</v>
      </c>
      <c r="B10">
        <v>64.652000000000001</v>
      </c>
      <c r="C10" t="s">
        <v>12</v>
      </c>
    </row>
    <row r="11" spans="1:3" x14ac:dyDescent="0.25">
      <c r="A11" t="s">
        <v>10</v>
      </c>
      <c r="B11">
        <v>64.525999999999996</v>
      </c>
      <c r="C11" t="s">
        <v>13</v>
      </c>
    </row>
    <row r="12" spans="1:3" x14ac:dyDescent="0.25">
      <c r="A12" t="s">
        <v>10</v>
      </c>
      <c r="B12">
        <v>64.183999999999997</v>
      </c>
      <c r="C12" t="s">
        <v>14</v>
      </c>
    </row>
    <row r="13" spans="1:3" x14ac:dyDescent="0.25">
      <c r="A13" t="s">
        <v>10</v>
      </c>
      <c r="B13">
        <v>63.554000000000002</v>
      </c>
      <c r="C13" t="s">
        <v>15</v>
      </c>
    </row>
    <row r="14" spans="1:3" x14ac:dyDescent="0.25">
      <c r="A14" t="s">
        <v>10</v>
      </c>
      <c r="B14">
        <v>63.247999999999998</v>
      </c>
      <c r="C14" t="s">
        <v>16</v>
      </c>
    </row>
    <row r="15" spans="1:3" x14ac:dyDescent="0.25">
      <c r="A15" t="s">
        <v>10</v>
      </c>
      <c r="B15">
        <v>62.564</v>
      </c>
      <c r="C15" t="s">
        <v>17</v>
      </c>
    </row>
    <row r="16" spans="1:3" x14ac:dyDescent="0.25">
      <c r="A16" t="s">
        <v>10</v>
      </c>
      <c r="B16">
        <v>62.347999999999999</v>
      </c>
      <c r="C16" t="s">
        <v>18</v>
      </c>
    </row>
    <row r="17" spans="1:3" x14ac:dyDescent="0.25">
      <c r="A17" t="s">
        <v>10</v>
      </c>
      <c r="B17">
        <v>61.7</v>
      </c>
      <c r="C17" t="s">
        <v>19</v>
      </c>
    </row>
    <row r="18" spans="1:3" x14ac:dyDescent="0.25">
      <c r="A18" t="s">
        <v>10</v>
      </c>
      <c r="B18">
        <v>61.43</v>
      </c>
      <c r="C18" t="s">
        <v>20</v>
      </c>
    </row>
    <row r="19" spans="1:3" x14ac:dyDescent="0.25">
      <c r="A19" t="s">
        <v>10</v>
      </c>
      <c r="B19">
        <v>60.8</v>
      </c>
      <c r="C19" t="s">
        <v>21</v>
      </c>
    </row>
    <row r="20" spans="1:3" x14ac:dyDescent="0.25">
      <c r="A20" t="s">
        <v>10</v>
      </c>
      <c r="B20">
        <v>60.655999999999999</v>
      </c>
      <c r="C20" t="s">
        <v>22</v>
      </c>
    </row>
    <row r="21" spans="1:3" x14ac:dyDescent="0.25">
      <c r="A21" t="s">
        <v>10</v>
      </c>
      <c r="B21">
        <v>60.116</v>
      </c>
      <c r="C21" t="s">
        <v>23</v>
      </c>
    </row>
    <row r="22" spans="1:3" x14ac:dyDescent="0.25">
      <c r="A22" t="s">
        <v>10</v>
      </c>
      <c r="B22">
        <v>60.026000000000003</v>
      </c>
      <c r="C22" t="s">
        <v>24</v>
      </c>
    </row>
    <row r="23" spans="1:3" x14ac:dyDescent="0.25">
      <c r="A23" t="s">
        <v>10</v>
      </c>
      <c r="B23">
        <v>59.252000000000002</v>
      </c>
      <c r="C23" t="s">
        <v>25</v>
      </c>
    </row>
    <row r="24" spans="1:3" x14ac:dyDescent="0.25">
      <c r="A24" t="s">
        <v>10</v>
      </c>
      <c r="B24">
        <v>59.18</v>
      </c>
      <c r="C24" t="s">
        <v>26</v>
      </c>
    </row>
    <row r="25" spans="1:3" x14ac:dyDescent="0.25">
      <c r="A25" t="s">
        <v>10</v>
      </c>
      <c r="B25">
        <v>58.55</v>
      </c>
      <c r="C25" t="s">
        <v>27</v>
      </c>
    </row>
    <row r="26" spans="1:3" x14ac:dyDescent="0.25">
      <c r="A26" t="s">
        <v>10</v>
      </c>
      <c r="B26">
        <v>58.136000000000003</v>
      </c>
      <c r="C26" t="s">
        <v>28</v>
      </c>
    </row>
    <row r="27" spans="1:3" x14ac:dyDescent="0.25">
      <c r="A27" t="s">
        <v>10</v>
      </c>
      <c r="B27">
        <v>57.938000000000002</v>
      </c>
      <c r="C27" t="s">
        <v>29</v>
      </c>
    </row>
    <row r="28" spans="1:3" x14ac:dyDescent="0.25">
      <c r="A28" t="s">
        <v>30</v>
      </c>
      <c r="B28">
        <v>0</v>
      </c>
      <c r="C28" t="s">
        <v>4</v>
      </c>
    </row>
    <row r="29" spans="1:3" x14ac:dyDescent="0.25">
      <c r="A29" t="s">
        <v>30</v>
      </c>
      <c r="B29">
        <v>1</v>
      </c>
      <c r="C29" t="s">
        <v>31</v>
      </c>
    </row>
    <row r="30" spans="1:3" x14ac:dyDescent="0.25">
      <c r="A30" t="s">
        <v>30</v>
      </c>
      <c r="B30">
        <v>0</v>
      </c>
      <c r="C30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history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Aggar</cp:lastModifiedBy>
  <dcterms:created xsi:type="dcterms:W3CDTF">2025-06-20T01:50:42Z</dcterms:created>
  <dcterms:modified xsi:type="dcterms:W3CDTF">2025-06-26T23:42:53Z</dcterms:modified>
</cp:coreProperties>
</file>