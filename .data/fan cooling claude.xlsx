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187e77b8a2e9176/Home Assistant/"/>
    </mc:Choice>
  </mc:AlternateContent>
  <xr:revisionPtr revIDLastSave="0" documentId="8_{C2AB515A-1B1E-4D96-AB24-F7F0E34848C9}" xr6:coauthVersionLast="47" xr6:coauthVersionMax="47" xr10:uidLastSave="{00000000-0000-0000-0000-000000000000}"/>
  <bookViews>
    <workbookView xWindow="-26610" yWindow="2295" windowWidth="21600" windowHeight="11295" xr2:uid="{197B486D-A74D-46D3-BA89-4F0235560E06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8" i="1" l="1"/>
  <c r="A28" i="1"/>
  <c r="D27" i="1"/>
  <c r="A27" i="1"/>
  <c r="A26" i="1"/>
  <c r="C25" i="1"/>
  <c r="C26" i="1" s="1"/>
  <c r="C27" i="1" s="1"/>
  <c r="C28" i="1" s="1"/>
  <c r="A25" i="1"/>
  <c r="D24" i="1"/>
  <c r="A24" i="1"/>
  <c r="A23" i="1"/>
  <c r="A22" i="1"/>
  <c r="A21" i="1"/>
  <c r="A20" i="1"/>
  <c r="A19" i="1"/>
  <c r="C18" i="1"/>
  <c r="C19" i="1" s="1"/>
  <c r="C20" i="1" s="1"/>
  <c r="C21" i="1" s="1"/>
  <c r="C22" i="1" s="1"/>
  <c r="C23" i="1" s="1"/>
  <c r="A18" i="1"/>
  <c r="D17" i="1"/>
  <c r="A17" i="1"/>
  <c r="A16" i="1"/>
  <c r="A15" i="1"/>
  <c r="A14" i="1"/>
  <c r="C13" i="1"/>
  <c r="C14" i="1" s="1"/>
  <c r="C15" i="1" s="1"/>
  <c r="C16" i="1" s="1"/>
  <c r="A13" i="1"/>
  <c r="C12" i="1"/>
  <c r="A12" i="1"/>
  <c r="D11" i="1"/>
  <c r="A11" i="1"/>
  <c r="B10" i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A10" i="1"/>
  <c r="B9" i="1"/>
  <c r="A9" i="1"/>
  <c r="B8" i="1"/>
  <c r="A8" i="1"/>
  <c r="A7" i="1"/>
  <c r="A6" i="1"/>
  <c r="D5" i="1"/>
  <c r="C5" i="1"/>
  <c r="C6" i="1" s="1"/>
  <c r="C7" i="1" s="1"/>
  <c r="C8" i="1" s="1"/>
  <c r="C9" i="1" s="1"/>
  <c r="C10" i="1" s="1"/>
  <c r="A5" i="1"/>
  <c r="D4" i="1"/>
  <c r="A4" i="1"/>
  <c r="D3" i="1"/>
  <c r="A3" i="1"/>
  <c r="A2" i="1"/>
</calcChain>
</file>

<file path=xl/sharedStrings.xml><?xml version="1.0" encoding="utf-8"?>
<sst xmlns="http://schemas.openxmlformats.org/spreadsheetml/2006/main" count="4" uniqueCount="4">
  <si>
    <t>PDT</t>
  </si>
  <si>
    <t>binary_sensor.master_bed_window_fan_state</t>
  </si>
  <si>
    <t>sensor.master_bed_temperature_average</t>
  </si>
  <si>
    <t>sensor.outside_temperature_coldest_sensor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</si>
</sst>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/>
      <right/>
      <top style="thin">
        <color theme="4"/>
      </top>
      <bottom style="thin">
        <color theme="4" tint="0.39997558519241921"/>
      </bottom>
      <diagonal/>
    </border>
    <border>
      <left/>
      <right/>
      <top style="thin">
        <color theme="4"/>
      </top>
      <bottom/>
      <diagonal/>
    </border>
    <border>
      <left/>
      <right/>
      <top style="thin">
        <color theme="4"/>
      </top>
      <bottom style="thin">
        <color theme="4"/>
      </bottom>
      <diagonal/>
    </border>
  </borders>
  <cellStyleXfs count="1">
    <xf numFmtId="0" fontId="0" fillId="0" borderId="0"/>
  </cellStyleXfs>
  <cellXfs count="7">
    <xf numFmtId="0" fontId="0" fillId="0" borderId="0" xfId="0"/>
    <xf numFmtId="164" fontId="1" fillId="2" borderId="1" xfId="0" applyNumberFormat="1" applyFont="1" applyFill="1" applyBorder="1"/>
    <xf numFmtId="0" fontId="1" fillId="2" borderId="1" xfId="0" applyFont="1" applyFill="1" applyBorder="1"/>
    <xf numFmtId="164" fontId="0" fillId="0" borderId="2" xfId="0" applyNumberFormat="1" applyBorder="1" applyAlignment="1">
      <alignment horizontal="left"/>
    </xf>
    <xf numFmtId="0" fontId="0" fillId="0" borderId="2" xfId="0" applyBorder="1"/>
    <xf numFmtId="164" fontId="0" fillId="0" borderId="3" xfId="0" applyNumberFormat="1" applyBorder="1" applyAlignment="1">
      <alignment horizontal="left"/>
    </xf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e187e77b8a2e9176/Home%20Assistant/fan%20cooling.xlsx" TargetMode="External"/><Relationship Id="rId1" Type="http://schemas.openxmlformats.org/officeDocument/2006/relationships/externalLinkPath" Target="fan%20cool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2"/>
      <sheetName val="history (1)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C445C-8C1F-4284-B274-24FDD91FB1EC}">
  <dimension ref="A1:D28"/>
  <sheetViews>
    <sheetView tabSelected="1" workbookViewId="0">
      <selection sqref="A1:D28"/>
    </sheetView>
  </sheetViews>
  <sheetFormatPr defaultRowHeight="15" x14ac:dyDescent="0.25"/>
  <cols>
    <col min="1" max="1" width="10.28515625" bestFit="1" customWidth="1"/>
    <col min="2" max="2" width="42.7109375" bestFit="1" customWidth="1"/>
    <col min="3" max="3" width="39.28515625" bestFit="1" customWidth="1"/>
    <col min="4" max="4" width="42.42578125" bestFit="1" customWidth="1"/>
  </cols>
  <sheetData>
    <row r="1" spans="1:4" x14ac:dyDescent="0.25">
      <c r="A1" s="1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3">
        <f>[1]!Table2[[#This Row],[Row Labels]]-(8/24)</f>
        <v>45826.809027777774</v>
      </c>
      <c r="B2" s="4">
        <v>0</v>
      </c>
      <c r="C2" s="4">
        <v>73.400000000000006</v>
      </c>
      <c r="D2" s="4">
        <v>65.174000000000007</v>
      </c>
    </row>
    <row r="3" spans="1:4" x14ac:dyDescent="0.25">
      <c r="A3" s="3">
        <f>[1]!Table2[[#This Row],[Row Labels]]-(8/24)</f>
        <v>45826.810713599538</v>
      </c>
      <c r="B3" s="4">
        <v>0</v>
      </c>
      <c r="C3" s="4">
        <v>75.2</v>
      </c>
      <c r="D3" s="4">
        <f>D2</f>
        <v>65.174000000000007</v>
      </c>
    </row>
    <row r="4" spans="1:4" x14ac:dyDescent="0.25">
      <c r="A4" s="3">
        <f>[1]!Table2[[#This Row],[Row Labels]]-(8/24)</f>
        <v>45826.811557048612</v>
      </c>
      <c r="B4" s="4">
        <v>0</v>
      </c>
      <c r="C4" s="4">
        <v>73.400000000000006</v>
      </c>
      <c r="D4" s="4">
        <f t="shared" ref="D4:D5" si="0">D3</f>
        <v>65.174000000000007</v>
      </c>
    </row>
    <row r="5" spans="1:4" x14ac:dyDescent="0.25">
      <c r="A5" s="3">
        <f>[1]!Table2[[#This Row],[Row Labels]]-(8/24)</f>
        <v>45826.811887974538</v>
      </c>
      <c r="B5" s="4">
        <v>1</v>
      </c>
      <c r="C5" s="4">
        <f t="shared" ref="C5:C10" si="1">C4</f>
        <v>73.400000000000006</v>
      </c>
      <c r="D5" s="4">
        <f t="shared" si="0"/>
        <v>65.174000000000007</v>
      </c>
    </row>
    <row r="6" spans="1:4" x14ac:dyDescent="0.25">
      <c r="A6" s="3">
        <f>[1]!Table2[[#This Row],[Row Labels]]-(8/24)</f>
        <v>45826.814874224532</v>
      </c>
      <c r="B6" s="4">
        <v>1</v>
      </c>
      <c r="C6" s="4">
        <f t="shared" si="1"/>
        <v>73.400000000000006</v>
      </c>
      <c r="D6" s="4">
        <v>65.138000000000005</v>
      </c>
    </row>
    <row r="7" spans="1:4" x14ac:dyDescent="0.25">
      <c r="A7" s="3">
        <f>[1]!Table2[[#This Row],[Row Labels]]-(8/24)</f>
        <v>45826.825358472219</v>
      </c>
      <c r="B7" s="4">
        <v>1</v>
      </c>
      <c r="C7" s="4">
        <f t="shared" si="1"/>
        <v>73.400000000000006</v>
      </c>
      <c r="D7" s="4">
        <v>64.652000000000001</v>
      </c>
    </row>
    <row r="8" spans="1:4" x14ac:dyDescent="0.25">
      <c r="A8" s="3">
        <f>[1]!Table2[[#This Row],[Row Labels]]-(8/24)</f>
        <v>45826.829211111108</v>
      </c>
      <c r="B8" s="4">
        <f t="shared" ref="B8:C23" si="2">B7</f>
        <v>1</v>
      </c>
      <c r="C8" s="4">
        <f t="shared" si="1"/>
        <v>73.400000000000006</v>
      </c>
      <c r="D8" s="4">
        <v>64.525999999999996</v>
      </c>
    </row>
    <row r="9" spans="1:4" x14ac:dyDescent="0.25">
      <c r="A9" s="3">
        <f>[1]!Table2[[#This Row],[Row Labels]]-(8/24)</f>
        <v>45826.829362141201</v>
      </c>
      <c r="B9" s="4">
        <f t="shared" si="2"/>
        <v>1</v>
      </c>
      <c r="C9" s="4">
        <f t="shared" si="1"/>
        <v>73.400000000000006</v>
      </c>
      <c r="D9" s="4">
        <v>64.183999999999997</v>
      </c>
    </row>
    <row r="10" spans="1:4" x14ac:dyDescent="0.25">
      <c r="A10" s="3">
        <f>[1]!Table2[[#This Row],[Row Labels]]-(8/24)</f>
        <v>45826.832694340279</v>
      </c>
      <c r="B10" s="4">
        <f t="shared" si="2"/>
        <v>1</v>
      </c>
      <c r="C10" s="4">
        <f t="shared" si="1"/>
        <v>73.400000000000006</v>
      </c>
      <c r="D10" s="4">
        <v>63.554000000000002</v>
      </c>
    </row>
    <row r="11" spans="1:4" x14ac:dyDescent="0.25">
      <c r="A11" s="3">
        <f>[1]!Table2[[#This Row],[Row Labels]]-(8/24)</f>
        <v>45826.833729456019</v>
      </c>
      <c r="B11" s="4">
        <f t="shared" si="2"/>
        <v>1</v>
      </c>
      <c r="C11" s="4">
        <v>71.599999999999994</v>
      </c>
      <c r="D11" s="4">
        <f>D10</f>
        <v>63.554000000000002</v>
      </c>
    </row>
    <row r="12" spans="1:4" x14ac:dyDescent="0.25">
      <c r="A12" s="3">
        <f>[1]!Table2[[#This Row],[Row Labels]]-(8/24)</f>
        <v>45826.834918344903</v>
      </c>
      <c r="B12" s="4">
        <f t="shared" si="2"/>
        <v>1</v>
      </c>
      <c r="C12" s="4">
        <f t="shared" si="2"/>
        <v>71.599999999999994</v>
      </c>
      <c r="D12" s="4">
        <v>63.247999999999998</v>
      </c>
    </row>
    <row r="13" spans="1:4" x14ac:dyDescent="0.25">
      <c r="A13" s="3">
        <f>[1]!Table2[[#This Row],[Row Labels]]-(8/24)</f>
        <v>45826.838266597217</v>
      </c>
      <c r="B13" s="4">
        <f t="shared" si="2"/>
        <v>1</v>
      </c>
      <c r="C13" s="4">
        <f t="shared" si="2"/>
        <v>71.599999999999994</v>
      </c>
      <c r="D13" s="4">
        <v>62.564</v>
      </c>
    </row>
    <row r="14" spans="1:4" x14ac:dyDescent="0.25">
      <c r="A14" s="3">
        <f>[1]!Table2[[#This Row],[Row Labels]]-(8/24)</f>
        <v>45826.843251782404</v>
      </c>
      <c r="B14" s="4">
        <f t="shared" si="2"/>
        <v>1</v>
      </c>
      <c r="C14" s="4">
        <f t="shared" si="2"/>
        <v>71.599999999999994</v>
      </c>
      <c r="D14" s="4">
        <v>62.347999999999999</v>
      </c>
    </row>
    <row r="15" spans="1:4" x14ac:dyDescent="0.25">
      <c r="A15" s="3">
        <f>[1]!Table2[[#This Row],[Row Labels]]-(8/24)</f>
        <v>45826.848713912033</v>
      </c>
      <c r="B15" s="4">
        <f t="shared" si="2"/>
        <v>1</v>
      </c>
      <c r="C15" s="4">
        <f t="shared" si="2"/>
        <v>71.599999999999994</v>
      </c>
      <c r="D15" s="4">
        <v>61.7</v>
      </c>
    </row>
    <row r="16" spans="1:4" x14ac:dyDescent="0.25">
      <c r="A16" s="3">
        <f>[1]!Table2[[#This Row],[Row Labels]]-(8/24)</f>
        <v>45826.851584131939</v>
      </c>
      <c r="B16" s="4">
        <f t="shared" si="2"/>
        <v>1</v>
      </c>
      <c r="C16" s="4">
        <f t="shared" si="2"/>
        <v>71.599999999999994</v>
      </c>
      <c r="D16" s="4">
        <v>61.43</v>
      </c>
    </row>
    <row r="17" spans="1:4" x14ac:dyDescent="0.25">
      <c r="A17" s="3">
        <f>[1]!Table2[[#This Row],[Row Labels]]-(8/24)</f>
        <v>45826.853818067124</v>
      </c>
      <c r="B17" s="4">
        <f t="shared" si="2"/>
        <v>1</v>
      </c>
      <c r="C17" s="4">
        <v>69.8</v>
      </c>
      <c r="D17" s="4">
        <f>D16</f>
        <v>61.43</v>
      </c>
    </row>
    <row r="18" spans="1:4" x14ac:dyDescent="0.25">
      <c r="A18" s="3">
        <f>[1]!Table2[[#This Row],[Row Labels]]-(8/24)</f>
        <v>45826.857767175927</v>
      </c>
      <c r="B18" s="4">
        <f t="shared" si="2"/>
        <v>1</v>
      </c>
      <c r="C18" s="4">
        <f t="shared" si="2"/>
        <v>69.8</v>
      </c>
      <c r="D18" s="4">
        <v>60.8</v>
      </c>
    </row>
    <row r="19" spans="1:4" x14ac:dyDescent="0.25">
      <c r="A19" s="3">
        <f>[1]!Table2[[#This Row],[Row Labels]]-(8/24)</f>
        <v>45826.861998587963</v>
      </c>
      <c r="B19" s="4">
        <f t="shared" si="2"/>
        <v>1</v>
      </c>
      <c r="C19" s="4">
        <f t="shared" si="2"/>
        <v>69.8</v>
      </c>
      <c r="D19" s="4">
        <v>60.655999999999999</v>
      </c>
    </row>
    <row r="20" spans="1:4" x14ac:dyDescent="0.25">
      <c r="A20" s="3">
        <f>[1]!Table2[[#This Row],[Row Labels]]-(8/24)</f>
        <v>45826.868212581016</v>
      </c>
      <c r="B20" s="4">
        <f t="shared" si="2"/>
        <v>1</v>
      </c>
      <c r="C20" s="4">
        <f t="shared" si="2"/>
        <v>69.8</v>
      </c>
      <c r="D20" s="4">
        <v>60.116</v>
      </c>
    </row>
    <row r="21" spans="1:4" x14ac:dyDescent="0.25">
      <c r="A21" s="3">
        <f>[1]!Table2[[#This Row],[Row Labels]]-(8/24)</f>
        <v>45826.872412164346</v>
      </c>
      <c r="B21" s="4">
        <f t="shared" si="2"/>
        <v>1</v>
      </c>
      <c r="C21" s="4">
        <f t="shared" si="2"/>
        <v>69.8</v>
      </c>
      <c r="D21" s="4">
        <v>60.026000000000003</v>
      </c>
    </row>
    <row r="22" spans="1:4" x14ac:dyDescent="0.25">
      <c r="A22" s="3">
        <f>[1]!Table2[[#This Row],[Row Labels]]-(8/24)</f>
        <v>45826.878656747685</v>
      </c>
      <c r="B22" s="4">
        <f t="shared" si="2"/>
        <v>1</v>
      </c>
      <c r="C22" s="4">
        <f t="shared" si="2"/>
        <v>69.8</v>
      </c>
      <c r="D22" s="4">
        <v>59.252000000000002</v>
      </c>
    </row>
    <row r="23" spans="1:4" x14ac:dyDescent="0.25">
      <c r="A23" s="3">
        <f>[1]!Table2[[#This Row],[Row Labels]]-(8/24)</f>
        <v>45826.882824699074</v>
      </c>
      <c r="B23" s="4">
        <f t="shared" si="2"/>
        <v>1</v>
      </c>
      <c r="C23" s="4">
        <f t="shared" si="2"/>
        <v>69.8</v>
      </c>
      <c r="D23" s="4">
        <v>59.18</v>
      </c>
    </row>
    <row r="24" spans="1:4" x14ac:dyDescent="0.25">
      <c r="A24" s="3">
        <f>[1]!Table2[[#This Row],[Row Labels]]-(8/24)</f>
        <v>45826.88637886574</v>
      </c>
      <c r="B24" s="4">
        <f t="shared" ref="B24:C28" si="3">B23</f>
        <v>1</v>
      </c>
      <c r="C24" s="4">
        <v>68</v>
      </c>
      <c r="D24" s="4">
        <f>D23</f>
        <v>59.18</v>
      </c>
    </row>
    <row r="25" spans="1:4" x14ac:dyDescent="0.25">
      <c r="A25" s="3">
        <f>[1]!Table2[[#This Row],[Row Labels]]-(8/24)</f>
        <v>45826.889099826389</v>
      </c>
      <c r="B25" s="4">
        <f t="shared" si="3"/>
        <v>1</v>
      </c>
      <c r="C25" s="4">
        <f t="shared" si="3"/>
        <v>68</v>
      </c>
      <c r="D25" s="4">
        <v>58.55</v>
      </c>
    </row>
    <row r="26" spans="1:4" x14ac:dyDescent="0.25">
      <c r="A26" s="3">
        <f>[1]!Table2[[#This Row],[Row Labels]]-(8/24)</f>
        <v>45826.899542025458</v>
      </c>
      <c r="B26" s="4">
        <f t="shared" si="3"/>
        <v>1</v>
      </c>
      <c r="C26" s="4">
        <f t="shared" si="3"/>
        <v>68</v>
      </c>
      <c r="D26" s="4">
        <v>58.136000000000003</v>
      </c>
    </row>
    <row r="27" spans="1:4" x14ac:dyDescent="0.25">
      <c r="A27" s="3">
        <f>[1]!Table2[[#This Row],[Row Labels]]-(8/24)</f>
        <v>45826.908949641198</v>
      </c>
      <c r="B27" s="4">
        <v>0</v>
      </c>
      <c r="C27" s="4">
        <f t="shared" si="3"/>
        <v>68</v>
      </c>
      <c r="D27" s="4">
        <f>D26</f>
        <v>58.136000000000003</v>
      </c>
    </row>
    <row r="28" spans="1:4" x14ac:dyDescent="0.25">
      <c r="A28" s="5">
        <f>[1]!Table2[[#This Row],[Row Labels]]-(8/24)</f>
        <v>45826.909983749996</v>
      </c>
      <c r="B28" s="6">
        <f>B27</f>
        <v>0</v>
      </c>
      <c r="C28" s="6">
        <f t="shared" si="3"/>
        <v>68</v>
      </c>
      <c r="D28" s="6">
        <v>57.938000000000002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Aggar</dc:creator>
  <cp:lastModifiedBy>Mark Aggar</cp:lastModifiedBy>
  <dcterms:created xsi:type="dcterms:W3CDTF">2025-07-05T21:06:19Z</dcterms:created>
  <dcterms:modified xsi:type="dcterms:W3CDTF">2025-07-05T21:07:13Z</dcterms:modified>
</cp:coreProperties>
</file>